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" sheetId="1" state="visible" r:id="rId1"/>
    <sheet name="批量试算" sheetId="2" state="visible" r:id="rId2"/>
  </sheets>
  <definedNames>
    <definedName name="板宽">'计算'!$B$7</definedName>
    <definedName name="板长">'计算'!$B$8</definedName>
    <definedName name="展长">'计算'!$B$9</definedName>
    <definedName name="高度">'计算'!$B$10</definedName>
    <definedName name="_xlnm.Print_Area" localSheetId="0">'计算'!$A$1:$D$42</definedName>
    <definedName name="_xlnm.Print_Area" localSheetId="1">'批量试算'!$A$1:$J$20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##"/>
    <numFmt numFmtId="165" formatCode="0.########"/>
    <numFmt numFmtId="166" formatCode="#,##0.##"/>
  </numFmts>
  <fonts count="27">
    <font>
      <name val="Calibri"/>
      <family val="2"/>
      <color theme="1"/>
      <sz val="11"/>
      <scheme val="minor"/>
    </font>
    <font>
      <name val="微软雅黑"/>
      <b val="1"/>
      <color rgb="00FFFFFF"/>
      <sz val="20"/>
    </font>
    <font>
      <name val="微软雅黑"/>
      <b val="1"/>
      <color rgb="001F4E79"/>
      <sz val="12"/>
    </font>
    <font>
      <name val="微软雅黑"/>
      <b val="1"/>
      <color rgb="007D6608"/>
      <sz val="11"/>
    </font>
    <font>
      <name val="微软雅黑"/>
      <color rgb="005D6D7E"/>
      <sz val="10"/>
    </font>
    <font>
      <name val="微软雅黑"/>
      <b val="1"/>
      <color rgb="00FFFFFF"/>
      <sz val="12"/>
    </font>
    <font>
      <name val="微软雅黑"/>
      <b val="1"/>
      <color rgb="001C2833"/>
      <sz val="12"/>
    </font>
    <font>
      <name val="微软雅黑"/>
      <b val="1"/>
      <color rgb="001F4E79"/>
      <sz val="14"/>
    </font>
    <font>
      <name val="微软雅黑"/>
      <color rgb="005D6D7E"/>
      <sz val="11"/>
    </font>
    <font>
      <name val="微软雅黑"/>
      <b val="1"/>
      <color rgb="001C2833"/>
      <sz val="11"/>
    </font>
    <font>
      <name val="微软雅黑"/>
      <color rgb="001C2833"/>
      <sz val="12"/>
    </font>
    <font>
      <name val="微软雅黑"/>
      <b val="1"/>
      <color rgb="000E6B3C"/>
      <sz val="11"/>
    </font>
    <font>
      <name val="微软雅黑"/>
      <b val="1"/>
      <color rgb="000E6B3C"/>
      <sz val="14"/>
    </font>
    <font>
      <name val="微软雅黑"/>
      <b val="1"/>
      <color rgb="00FFFFFF"/>
      <sz val="14"/>
    </font>
    <font>
      <name val="微软雅黑"/>
      <b val="1"/>
      <color rgb="00FFFFFF"/>
      <sz val="22"/>
    </font>
    <font>
      <name val="微软雅黑"/>
      <b val="1"/>
      <color rgb="00FFFFFF"/>
      <sz val="11"/>
    </font>
    <font>
      <name val="微软雅黑"/>
      <color rgb="007F8C8D"/>
      <sz val="11"/>
    </font>
    <font>
      <name val="微软雅黑"/>
      <color rgb="007F8C8D"/>
      <sz val="12"/>
    </font>
    <font>
      <name val="微软雅黑"/>
      <color rgb="007F8C8D"/>
      <sz val="10"/>
    </font>
    <font>
      <name val="微软雅黑"/>
      <color rgb="001C2833"/>
      <sz val="11"/>
    </font>
    <font>
      <name val="微软雅黑"/>
      <color rgb="001C2833"/>
      <sz val="10"/>
    </font>
    <font>
      <name val="微软雅黑"/>
      <b val="1"/>
      <color rgb="00FFFFFF"/>
      <sz val="18"/>
    </font>
    <font>
      <name val="微软雅黑"/>
      <b val="1"/>
      <color rgb="001F4E79"/>
      <sz val="11"/>
    </font>
    <font>
      <name val="微软雅黑"/>
      <b val="1"/>
      <color rgb="00FFFFFF"/>
      <sz val="10"/>
    </font>
    <font>
      <name val="微软雅黑"/>
      <b val="1"/>
      <color rgb="000E6B3C"/>
      <sz val="12"/>
    </font>
    <font>
      <name val="微软雅黑"/>
      <b val="1"/>
      <color rgb="000E6B3C"/>
      <sz val="13"/>
    </font>
    <font>
      <name val="微软雅黑"/>
      <color rgb="005D6D7E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8FBFD"/>
      </patternFill>
    </fill>
    <fill>
      <patternFill patternType="solid">
        <fgColor rgb="00D6EAF8"/>
      </patternFill>
    </fill>
    <fill>
      <patternFill patternType="solid">
        <fgColor rgb="00FFF4CC"/>
      </patternFill>
    </fill>
    <fill>
      <patternFill patternType="solid">
        <fgColor rgb="00E5F6EC"/>
      </patternFill>
    </fill>
    <fill>
      <patternFill patternType="solid">
        <fgColor rgb="000E6B3C"/>
      </patternFill>
    </fill>
    <fill>
      <patternFill patternType="solid">
        <fgColor rgb="007F8C8D"/>
      </patternFill>
    </fill>
    <fill>
      <patternFill patternType="solid">
        <fgColor rgb="00F0F3F4"/>
      </patternFill>
    </fill>
    <fill>
      <patternFill patternType="solid">
        <fgColor rgb="00D5F5E3"/>
      </patternFill>
    </fill>
    <fill>
      <patternFill patternType="solid">
        <fgColor rgb="00FBFCFC"/>
      </patternFill>
    </fill>
  </fills>
  <borders count="6">
    <border>
      <left/>
      <right/>
      <top/>
      <bottom/>
      <diagonal/>
    </border>
    <border/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medium">
        <color rgb="00D4AC0D"/>
      </left>
      <right style="medium">
        <color rgb="00D4AC0D"/>
      </right>
      <top style="medium">
        <color rgb="00D4AC0D"/>
      </top>
      <bottom style="medium">
        <color rgb="00D4AC0D"/>
      </bottom>
    </border>
    <border>
      <left style="medium">
        <color rgb="000E6B3C"/>
      </left>
      <right style="medium">
        <color rgb="000E6B3C"/>
      </right>
      <top style="medium">
        <color rgb="000E6B3C"/>
      </top>
      <bottom style="medium">
        <color rgb="000E6B3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4" fillId="5" borderId="0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2" applyAlignment="1" pivotButton="0" quotePrefix="0" xfId="0">
      <alignment horizontal="left" vertical="center" indent="1"/>
    </xf>
    <xf numFmtId="164" fontId="7" fillId="7" borderId="3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 indent="1"/>
    </xf>
    <xf numFmtId="164" fontId="7" fillId="8" borderId="4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indent="1"/>
    </xf>
    <xf numFmtId="165" fontId="10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 indent="1"/>
    </xf>
    <xf numFmtId="0" fontId="11" fillId="9" borderId="2" applyAlignment="1" pivotButton="0" quotePrefix="0" xfId="0">
      <alignment horizontal="left" vertical="center" indent="1"/>
    </xf>
    <xf numFmtId="1" fontId="12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 indent="1"/>
    </xf>
    <xf numFmtId="0" fontId="13" fillId="10" borderId="5" applyAlignment="1" pivotButton="0" quotePrefix="0" xfId="0">
      <alignment horizontal="left" vertical="center" indent="1"/>
    </xf>
    <xf numFmtId="1" fontId="14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15" fillId="10" borderId="5" applyAlignment="1" pivotButton="0" quotePrefix="0" xfId="0">
      <alignment horizontal="left" vertical="center" wrapText="1" indent="1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16" fillId="12" borderId="2" applyAlignment="1" pivotButton="0" quotePrefix="0" xfId="0">
      <alignment horizontal="left" vertical="center" indent="1"/>
    </xf>
    <xf numFmtId="1" fontId="17" fillId="12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/>
    </xf>
    <xf numFmtId="0" fontId="18" fillId="12" borderId="2" applyAlignment="1" pivotButton="0" quotePrefix="0" xfId="0">
      <alignment horizontal="left" vertical="center" wrapText="1" indent="1"/>
    </xf>
    <xf numFmtId="166" fontId="2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indent="1"/>
    </xf>
    <xf numFmtId="166" fontId="2" fillId="6" borderId="2" applyAlignment="1" pivotButton="0" quotePrefix="0" xfId="0">
      <alignment horizontal="center" vertical="center"/>
    </xf>
    <xf numFmtId="10" fontId="2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1" fontId="2" fillId="5" borderId="2" applyAlignment="1" pivotButton="0" quotePrefix="0" xfId="0">
      <alignment horizontal="center" vertical="center"/>
    </xf>
    <xf numFmtId="1" fontId="2" fillId="6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left" vertical="center" indent="1"/>
    </xf>
    <xf numFmtId="1" fontId="12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 wrapText="1" indent="1"/>
    </xf>
    <xf numFmtId="1" fontId="7" fillId="5" borderId="2" applyAlignment="1" pivotButton="0" quotePrefix="0" xfId="0">
      <alignment horizontal="center" vertical="center"/>
    </xf>
    <xf numFmtId="166" fontId="7" fillId="8" borderId="4" applyAlignment="1" pivotButton="0" quotePrefix="0" xfId="0">
      <alignment horizontal="center" vertical="center"/>
    </xf>
    <xf numFmtId="1" fontId="7" fillId="6" borderId="2" applyAlignment="1" pivotButton="0" quotePrefix="0" xfId="0">
      <alignment horizontal="center" vertical="center"/>
    </xf>
    <xf numFmtId="0" fontId="20" fillId="14" borderId="2" applyAlignment="1" pivotButton="0" quotePrefix="0" xfId="0">
      <alignment horizontal="left" vertical="center" wrapText="1" indent="1"/>
    </xf>
    <xf numFmtId="0" fontId="0" fillId="14" borderId="2" applyAlignment="1" pivotButton="0" quotePrefix="0" xfId="0">
      <alignment horizontal="left" vertical="center" wrapText="1" indent="1"/>
    </xf>
    <xf numFmtId="0" fontId="21" fillId="2" borderId="0" applyAlignment="1" pivotButton="0" quotePrefix="0" xfId="0">
      <alignment horizontal="left" vertical="center" indent="1"/>
    </xf>
    <xf numFmtId="0" fontId="22" fillId="3" borderId="0" applyAlignment="1" pivotButton="0" quotePrefix="0" xfId="0">
      <alignment horizontal="left" vertical="center" wrapText="1" indent="1"/>
    </xf>
    <xf numFmtId="0" fontId="23" fillId="2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indent="1"/>
    </xf>
    <xf numFmtId="164" fontId="2" fillId="8" borderId="4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1" fontId="25" fillId="13" borderId="2" applyAlignment="1" pivotButton="0" quotePrefix="0" xfId="0">
      <alignment horizontal="center" vertical="center"/>
    </xf>
    <xf numFmtId="0" fontId="26" fillId="5" borderId="2" applyAlignment="1" pivotButton="0" quotePrefix="0" xfId="0">
      <alignment horizontal="left" vertical="center" wrapText="1" indent="1"/>
    </xf>
    <xf numFmtId="0" fontId="26" fillId="6" borderId="2" applyAlignment="1" pivotButton="0" quotePrefix="0" xfId="0">
      <alignment horizontal="left" vertical="center" wrapText="1" indent="1"/>
    </xf>
    <xf numFmtId="0" fontId="19" fillId="6" borderId="2" applyAlignment="1" pivotButton="0" quotePrefix="0" xfId="0">
      <alignment horizontal="left" vertical="center" indent="1"/>
    </xf>
    <xf numFmtId="0" fontId="19" fillId="5" borderId="2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ont>
        <name val="微软雅黑"/>
        <b val="1"/>
        <color rgb="00FFFFFF"/>
        <sz val="14"/>
      </font>
      <fill>
        <patternFill patternType="solid">
          <fgColor rgb="00E67E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计算表</author>
  </authors>
  <commentList>
    <comment ref="B9" authorId="0" shapeId="0">
      <text>
        <t>单个骨架展开后的长度，单位毫米。
先用板宽除以这个数，再把小数全部舍去（不四舍五入）。</t>
      </text>
    </comment>
    <comment ref="B10" authorId="0" shapeId="0">
      <text>
        <t>单个骨架的高度，单位毫米。
先用板长除以这个数，再把小数全部舍去（不四舍五入）。</t>
      </text>
    </comment>
    <comment ref="B17" authorId="0" shapeId="0">
      <text>
        <t>公式：INT(板宽/展长)*INT(板长/高度)
INT 只保留整数，小数直接舍去，不四舍五入。
先各自取整，再相乘。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42"/>
  <sheetViews>
    <sheetView showGridLines="0" view="normal" zoomScale="110" workbookViewId="0">
      <selection activeCell="B9" sqref="B9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62" customWidth="1" min="4" max="4"/>
  </cols>
  <sheetData>
    <row r="1" ht="36" customHeight="1">
      <c r="A1" s="1" t="inlineStr">
        <is>
          <t>彩锌多孔板 · 一张能做几个骨架</t>
        </is>
      </c>
      <c r="B1" s="2" t="n"/>
      <c r="C1" s="2" t="n"/>
      <c r="D1" s="2" t="n"/>
    </row>
    <row r="2" ht="22" customHeight="1">
      <c r="A2" s="3">
        <f>"骨架数量 = INT("&amp;TEXT(板宽,"0.##")&amp;" ÷ 展长) × INT("&amp;TEXT(板长,"0.##")&amp;" ÷ 高度)"</f>
        <v/>
      </c>
      <c r="B2" s="4" t="n"/>
      <c r="C2" s="4" t="n"/>
      <c r="D2" s="4" t="n"/>
    </row>
    <row r="3" ht="34" customHeight="1">
      <c r="A3" s="5" t="inlineStr">
        <is>
          <t>取整规则：只保留整数，小数全部舍去，不四舍五入。先各自取整，再把两个整数相乘。例如商是 12.5 时取 12，不是 13。</t>
        </is>
      </c>
      <c r="B3" s="6" t="n"/>
      <c r="C3" s="6" t="n"/>
      <c r="D3" s="6" t="n"/>
    </row>
    <row r="4" ht="32" customHeight="1">
      <c r="A4" s="7" t="inlineStr">
        <is>
          <t>蓝格是板材尺寸，笔记里已写 1250×2500，可以改。黄格请填实际展长和高度；现在的 100 和 500 是示例，用来看清 12.5 只取 12。灰色是不采用的算法。</t>
        </is>
      </c>
    </row>
    <row r="6" ht="24" customHeight="1">
      <c r="A6" s="8" t="inlineStr">
        <is>
          <t>一、尺寸（毫米）</t>
        </is>
      </c>
      <c r="B6" s="9" t="n"/>
      <c r="C6" s="9" t="n"/>
      <c r="D6" s="9" t="n"/>
    </row>
    <row r="7" ht="24" customHeight="1">
      <c r="A7" s="10" t="inlineStr">
        <is>
          <t>板宽</t>
        </is>
      </c>
      <c r="B7" s="11" t="n">
        <v>1250</v>
      </c>
      <c r="C7" s="12" t="inlineStr">
        <is>
          <t>mm</t>
        </is>
      </c>
      <c r="D7" s="13" t="inlineStr">
        <is>
          <t>笔记给定的短边，对应公式里的 1250。可改。</t>
        </is>
      </c>
    </row>
    <row r="8" ht="24" customHeight="1">
      <c r="A8" s="10" t="inlineStr">
        <is>
          <t>板长</t>
        </is>
      </c>
      <c r="B8" s="11" t="n">
        <v>2500</v>
      </c>
      <c r="C8" s="12" t="inlineStr">
        <is>
          <t>mm</t>
        </is>
      </c>
      <c r="D8" s="13" t="inlineStr">
        <is>
          <t>笔记给定的长边，对应公式里的 2500。可改。</t>
        </is>
      </c>
    </row>
    <row r="9" ht="24" customHeight="1">
      <c r="A9" s="10" t="inlineStr">
        <is>
          <t>展长</t>
        </is>
      </c>
      <c r="B9" s="14" t="n">
        <v>100</v>
      </c>
      <c r="C9" s="12" t="inlineStr">
        <is>
          <t>mm</t>
        </is>
      </c>
      <c r="D9" s="13" t="inlineStr">
        <is>
          <t>示例。单个骨架的展开长度，沿板宽排列。请改成实际值。</t>
        </is>
      </c>
    </row>
    <row r="10" ht="24" customHeight="1">
      <c r="A10" s="10" t="inlineStr">
        <is>
          <t>高度</t>
        </is>
      </c>
      <c r="B10" s="14" t="n">
        <v>500</v>
      </c>
      <c r="C10" s="12" t="inlineStr">
        <is>
          <t>mm</t>
        </is>
      </c>
      <c r="D10" s="13" t="inlineStr">
        <is>
          <t>示例。单个骨架的高度，沿板长排列。请改成实际值。</t>
        </is>
      </c>
    </row>
    <row r="12" ht="24" customHeight="1">
      <c r="A12" s="8" t="inlineStr">
        <is>
          <t>二、计算过程：先各自取整，再相乘（采用）</t>
        </is>
      </c>
      <c r="B12" s="9" t="n"/>
      <c r="C12" s="9" t="n"/>
      <c r="D12" s="9" t="n"/>
    </row>
    <row r="13" ht="26" customHeight="1">
      <c r="A13" s="15" t="inlineStr">
        <is>
          <t>板宽 ÷ 展长（商）</t>
        </is>
      </c>
      <c r="B13" s="16">
        <f>IF(AND(ISNUMBER(板宽),ISNUMBER(板长),ISNUMBER(展长),ISNUMBER(高度),板宽&gt;0,板长&gt;0,展长&gt;0,高度&gt;0),板宽/展长,"—")</f>
        <v/>
      </c>
      <c r="C13" s="17" t="inlineStr"/>
      <c r="D13" s="18">
        <f>IF(NOT(ISNUMBER(B13)),"",TEXT(板宽,"0.##")&amp;" ÷ "&amp;TEXT(展长,"0.##")&amp;" = "&amp;TEXT(B13,"0.########"))</f>
        <v/>
      </c>
    </row>
    <row r="14" ht="28" customHeight="1">
      <c r="A14" s="19" t="inlineStr">
        <is>
          <t>只取整数（采用）</t>
        </is>
      </c>
      <c r="B14" s="20">
        <f>IF(AND(ISNUMBER(板宽),ISNUMBER(板长),ISNUMBER(展长),ISNUMBER(高度),板宽&gt;0,板长&gt;0,展长&gt;0,高度&gt;0),INT(板宽/展长),"—")</f>
        <v/>
      </c>
      <c r="C14" s="21" t="inlineStr">
        <is>
          <t>个</t>
        </is>
      </c>
      <c r="D14" s="22">
        <f>IF(NOT(ISNUMBER(B14)),"",IF(B13=B14,"商是整数，取整后仍是 "&amp;B14,"舍去小数 "&amp;TEXT(B13-B14,"0.########")&amp;IF(ROUND(B13,0)=B14,"。四舍五入结果相同，仍取 "&amp;B14,"。四舍五入会进成 "&amp;ROUND(B13,0)&amp;"，本表不采用")))</f>
        <v/>
      </c>
    </row>
    <row r="15" ht="26" customHeight="1">
      <c r="A15" s="15" t="inlineStr">
        <is>
          <t>板长 ÷ 高度（商）</t>
        </is>
      </c>
      <c r="B15" s="16">
        <f>IF(AND(ISNUMBER(板宽),ISNUMBER(板长),ISNUMBER(展长),ISNUMBER(高度),板宽&gt;0,板长&gt;0,展长&gt;0,高度&gt;0),板长/高度,"—")</f>
        <v/>
      </c>
      <c r="C15" s="17" t="inlineStr"/>
      <c r="D15" s="18">
        <f>IF(NOT(ISNUMBER(B15)),"",TEXT(板长,"0.##")&amp;" ÷ "&amp;TEXT(高度,"0.##")&amp;" = "&amp;TEXT(B15,"0.########"))</f>
        <v/>
      </c>
    </row>
    <row r="16" ht="28" customHeight="1">
      <c r="A16" s="19" t="inlineStr">
        <is>
          <t>只取整数（采用）</t>
        </is>
      </c>
      <c r="B16" s="20">
        <f>IF(AND(ISNUMBER(板宽),ISNUMBER(板长),ISNUMBER(展长),ISNUMBER(高度),板宽&gt;0,板长&gt;0,展长&gt;0,高度&gt;0),INT(板长/高度),"—")</f>
        <v/>
      </c>
      <c r="C16" s="21" t="inlineStr">
        <is>
          <t>个</t>
        </is>
      </c>
      <c r="D16" s="22">
        <f>IF(NOT(ISNUMBER(B16)),"",IF(B15=B16,"商是整数，取整后仍是 "&amp;B16,"舍去小数 "&amp;TEXT(B15-B16,"0.########")&amp;IF(ROUND(B15,0)=B16,"。四舍五入结果相同，仍取 "&amp;B16,"。四舍五入会进成 "&amp;ROUND(B15,0)&amp;"，本表不采用")))</f>
        <v/>
      </c>
    </row>
    <row r="17" ht="42" customHeight="1">
      <c r="A17" s="23" t="inlineStr">
        <is>
          <t>一张板可做骨架</t>
        </is>
      </c>
      <c r="B17" s="24">
        <f>IF(AND(ISNUMBER(板宽),ISNUMBER(板长),ISNUMBER(展长),ISNUMBER(高度),板宽&gt;0,板长&gt;0,展长&gt;0,高度&gt;0),INT(板宽/展长)*INT(板长/高度),"—")</f>
        <v/>
      </c>
      <c r="C17" s="25" t="inlineStr">
        <is>
          <t>个</t>
        </is>
      </c>
      <c r="D17" s="26">
        <f>IF(NOT(ISNUMBER(B17)),"请填写大于 0 的展长和高度",B14&amp;" × "&amp;B16&amp;" = "&amp;B17&amp;" 个。先各自取整，再相乘")</f>
        <v/>
      </c>
    </row>
    <row r="19" ht="24" customHeight="1">
      <c r="A19" s="27" t="inlineStr">
        <is>
          <t>三、两种不采用的算法（只对照，不拿来下料）</t>
        </is>
      </c>
      <c r="B19" s="28" t="n"/>
      <c r="C19" s="28" t="n"/>
      <c r="D19" s="28" t="n"/>
    </row>
    <row r="20" ht="30" customHeight="1">
      <c r="A20" s="29" t="inlineStr">
        <is>
          <t>各自四舍五入再相乘</t>
        </is>
      </c>
      <c r="B20" s="30">
        <f>IF(AND(ISNUMBER(板宽),ISNUMBER(板长),ISNUMBER(展长),ISNUMBER(高度),板宽&gt;0,板长&gt;0,展长&gt;0,高度&gt;0),ROUND(板宽/展长,0)*ROUND(板长/高度,0),"—")</f>
        <v/>
      </c>
      <c r="C20" s="31" t="inlineStr">
        <is>
          <t>个</t>
        </is>
      </c>
      <c r="D20" s="32">
        <f>IF(NOT(ISNUMBER(B20)),"",IF(B20=B17,"本例和采用结果一样。本表仍然只舍不入，不用四舍五入。","比采用结果多 "&amp;(B20-B17)&amp;" 个。本表不采用。"))</f>
        <v/>
      </c>
    </row>
    <row r="21" ht="32" customHeight="1">
      <c r="A21" s="29" t="inlineStr">
        <is>
          <t>先相乘再取整</t>
        </is>
      </c>
      <c r="B21" s="30">
        <f>IF(AND(ISNUMBER(板宽),ISNUMBER(板长),ISNUMBER(展长),ISNUMBER(高度),板宽&gt;0,板长&gt;0,展长&gt;0,高度&gt;0),INT((板宽/展长)*(板长/高度)),"—")</f>
        <v/>
      </c>
      <c r="C21" s="31" t="inlineStr">
        <is>
          <t>个</t>
        </is>
      </c>
      <c r="D21" s="32">
        <f>IF(NOT(ISNUMBER(B21)),"","两个商相乘是 "&amp;TEXT((板宽/展长)*(板长/高度),"0.########")&amp;"，再取整是 "&amp;B21&amp;"。"&amp;IF(B21=B17,"本例碰巧相同。","和先取整再相乘的 "&amp;B17&amp;" 个不同。")&amp;"本表不这样做。")</f>
        <v/>
      </c>
    </row>
    <row r="23" ht="24" customHeight="1">
      <c r="A23" s="8" t="inlineStr">
        <is>
          <t>四、余料</t>
        </is>
      </c>
      <c r="B23" s="9" t="n"/>
      <c r="C23" s="9" t="n"/>
      <c r="D23" s="9" t="n"/>
    </row>
    <row r="24" ht="28" customHeight="1">
      <c r="A24" s="15" t="inlineStr">
        <is>
          <t>宽度余料</t>
        </is>
      </c>
      <c r="B24" s="33">
        <f>IF(NOT(ISNUMBER(B14)),"—",板宽-B14*展长)</f>
        <v/>
      </c>
      <c r="C24" s="17" t="inlineStr">
        <is>
          <t>mm</t>
        </is>
      </c>
      <c r="D24" s="18">
        <f>IF(NOT(ISNUMBER(B24)),"",TEXT(板宽,"0.##")&amp;" − "&amp;B14&amp;"×"&amp;TEXT(展长,"0.##")&amp;" = "&amp;TEXT(B24,"0.##")&amp;" mm"&amp;IF(B24&lt;=0,"，这条边刚好排满","，剩下的不够再做一个"))</f>
        <v/>
      </c>
    </row>
    <row r="25" ht="28" customHeight="1">
      <c r="A25" s="34" t="inlineStr">
        <is>
          <t>长度余料</t>
        </is>
      </c>
      <c r="B25" s="35">
        <f>IF(NOT(ISNUMBER(B16)),"—",板长-B16*高度)</f>
        <v/>
      </c>
      <c r="C25" s="12" t="inlineStr">
        <is>
          <t>mm</t>
        </is>
      </c>
      <c r="D25" s="13">
        <f>IF(NOT(ISNUMBER(B25)),"",TEXT(板长,"0.##")&amp;" − "&amp;B16&amp;"×"&amp;TEXT(高度,"0.##")&amp;" = "&amp;TEXT(B25,"0.##")&amp;" mm"&amp;IF(B25&lt;=0,"，这条边刚好排满","，剩下的不够再做一个"))</f>
        <v/>
      </c>
    </row>
    <row r="26" ht="26" customHeight="1">
      <c r="A26" s="15" t="inlineStr">
        <is>
          <t>板材利用率</t>
        </is>
      </c>
      <c r="B26" s="36">
        <f>IF(OR(NOT(ISNUMBER(B17)),板宽&lt;=0,板长&lt;=0),"—",(B14*展长*B16*高度)/(板宽*板长))</f>
        <v/>
      </c>
      <c r="C26" s="37" t="inlineStr"/>
      <c r="D26" s="18">
        <f>IF(NOT(ISNUMBER(B26)),"","完整骨架面积 "&amp;TEXT(B14*展长*B16*高度,"#,##0")&amp;" ÷ 整板 "&amp;TEXT(板宽*板长,"#,##0")&amp;" mm²")</f>
        <v/>
      </c>
    </row>
    <row r="28" ht="24" customHeight="1">
      <c r="A28" s="8" t="inlineStr">
        <is>
          <t>五、转 90° 对照（同样只取整数，再相乘）</t>
        </is>
      </c>
      <c r="B28" s="9" t="n"/>
      <c r="C28" s="9" t="n"/>
      <c r="D28" s="9" t="n"/>
    </row>
    <row r="29" ht="28" customHeight="1">
      <c r="A29" s="15" t="inlineStr">
        <is>
          <t>板长 ÷ 展长，只取整数</t>
        </is>
      </c>
      <c r="B29" s="38">
        <f>IF(AND(ISNUMBER(板宽),ISNUMBER(板长),ISNUMBER(展长),ISNUMBER(高度),板宽&gt;0,板长&gt;0,展长&gt;0,高度&gt;0),INT(板长/展长),"—")</f>
        <v/>
      </c>
      <c r="C29" s="17" t="inlineStr">
        <is>
          <t>个</t>
        </is>
      </c>
      <c r="D29" s="18">
        <f>IF(NOT(ISNUMBER(B29)),"","展长改放到长边。商 "&amp;TEXT(板长/展长,"0.########")&amp;"，只取 "&amp;B29&amp;IF(ROUND(板长/展长,0)&lt;&gt;B29,"（四舍五入会是 "&amp;ROUND(板长/展长,0)&amp;"，不采用）",""))</f>
        <v/>
      </c>
    </row>
    <row r="30" ht="28" customHeight="1">
      <c r="A30" s="34" t="inlineStr">
        <is>
          <t>板宽 ÷ 高度，只取整数</t>
        </is>
      </c>
      <c r="B30" s="39">
        <f>IF(AND(ISNUMBER(板宽),ISNUMBER(板长),ISNUMBER(展长),ISNUMBER(高度),板宽&gt;0,板长&gt;0,展长&gt;0,高度&gt;0),INT(板宽/高度),"—")</f>
        <v/>
      </c>
      <c r="C30" s="12" t="inlineStr">
        <is>
          <t>个</t>
        </is>
      </c>
      <c r="D30" s="13">
        <f>IF(NOT(ISNUMBER(B30)),"","高度改放到短边。商 "&amp;TEXT(板宽/高度,"0.########")&amp;"，只取 "&amp;B30&amp;IF(ROUND(板宽/高度,0)&lt;&gt;B30,"（四舍五入会是 "&amp;ROUND(板宽/高度,0)&amp;"，不采用）",""))</f>
        <v/>
      </c>
    </row>
    <row r="31" ht="26" customHeight="1">
      <c r="A31" s="40" t="inlineStr">
        <is>
          <t>转 90° 可做</t>
        </is>
      </c>
      <c r="B31" s="41">
        <f>IF(AND(ISNUMBER(板宽),ISNUMBER(板长),ISNUMBER(展长),ISNUMBER(高度),板宽&gt;0,板长&gt;0,展长&gt;0,高度&gt;0),INT(板长/展长)*INT(板宽/高度),"—")</f>
        <v/>
      </c>
      <c r="C31" s="42" t="inlineStr">
        <is>
          <t>个</t>
        </is>
      </c>
      <c r="D31" s="43">
        <f>IF(NOT(ISNUMBER(B31)),"",B29&amp;" × "&amp;B30&amp;" = "&amp;B31&amp;" 个")</f>
        <v/>
      </c>
    </row>
    <row r="32" ht="32" customHeight="1">
      <c r="A32" s="15" t="inlineStr">
        <is>
          <t>两种摆法里较多</t>
        </is>
      </c>
      <c r="B32" s="44">
        <f>IF(AND(ISNUMBER(B17),ISNUMBER(B31)),MAX(B17,B31),"—")</f>
        <v/>
      </c>
      <c r="C32" s="17" t="inlineStr">
        <is>
          <t>个</t>
        </is>
      </c>
      <c r="D32" s="18">
        <f>IF(NOT(ISNUMBER(B32)),"",IF(AND(B17=0,B31=0),"两种摆法都放不下一个完整骨架",IF(B31&gt;B17,"转 90° 更多，多 "&amp;(B31-B17)&amp;" 个。零件不能换向时，仍以上面绿色结果为准",IF(B17&gt;B31,"笔记方向更多，多 "&amp;(B17-B31)&amp;" 个","两种摆法数量相同"))))</f>
        <v/>
      </c>
    </row>
    <row r="34" ht="24" customHeight="1">
      <c r="A34" s="8" t="inlineStr">
        <is>
          <t>六、已知要做几个，反算用几张板（可选）</t>
        </is>
      </c>
      <c r="B34" s="9" t="n"/>
      <c r="C34" s="9" t="n"/>
      <c r="D34" s="9" t="n"/>
    </row>
    <row r="35" ht="24" customHeight="1">
      <c r="A35" s="34" t="inlineStr">
        <is>
          <t>需要的骨架数</t>
        </is>
      </c>
      <c r="B35" s="45" t="n"/>
      <c r="C35" s="12" t="inlineStr">
        <is>
          <t>个</t>
        </is>
      </c>
      <c r="D35" s="13" t="inlineStr">
        <is>
          <t>选填。填写后，下面两行按向上取整算出张数。</t>
        </is>
      </c>
    </row>
    <row r="36" ht="30" customHeight="1">
      <c r="A36" s="15" t="inlineStr">
        <is>
          <t>按笔记方向用板</t>
        </is>
      </c>
      <c r="B36" s="44">
        <f>IF(B35="","",IF(NOT(ISNUMBER(B35)),"请填数字",IF(B35&lt;0,"不能为负",IF(NOT(ISNUMBER(B17)),"—",IF(B17&lt;=0,"做不出",ROUNDUP(B35/B17,0))))))</f>
        <v/>
      </c>
      <c r="C36" s="17" t="inlineStr">
        <is>
          <t>张</t>
        </is>
      </c>
      <c r="D36" s="18">
        <f>IF(NOT(ISNUMBER(B36)),"",B35&amp;" ÷ "&amp;B17&amp;" = "&amp;TEXT(B35/B17,"0.00")&amp;"，向上取整为 "&amp;B36&amp;" 张。有零头就加一张，这不是四舍五入。")</f>
        <v/>
      </c>
    </row>
    <row r="37" ht="30" customHeight="1">
      <c r="A37" s="34" t="inlineStr">
        <is>
          <t>按较多摆法用板</t>
        </is>
      </c>
      <c r="B37" s="46">
        <f>IF(B35="","",IF(NOT(ISNUMBER(B35)),"请填数字",IF(B35&lt;0,"不能为负",IF(NOT(ISNUMBER(B32)),"—",IF(B32&lt;=0,"做不出",ROUNDUP(B35/B32,0))))))</f>
        <v/>
      </c>
      <c r="C37" s="12" t="inlineStr">
        <is>
          <t>张</t>
        </is>
      </c>
      <c r="D37" s="13">
        <f>IF(NOT(ISNUMBER(B37)),"",B35&amp;" ÷ "&amp;B32&amp;" = "&amp;TEXT(B35/B32,"0.00")&amp;"，向上取整为 "&amp;B37&amp;" 张。零件不能换向时，用上面一行。")</f>
        <v/>
      </c>
    </row>
    <row r="39" ht="24" customHeight="1">
      <c r="A39" s="8" t="inlineStr">
        <is>
          <t>七、说明</t>
        </is>
      </c>
      <c r="B39" s="9" t="n"/>
      <c r="C39" s="9" t="n"/>
      <c r="D39" s="9" t="n"/>
    </row>
    <row r="40" ht="22" customHeight="1">
      <c r="A40" s="47" t="inlineStr">
        <is>
          <t>1. 与笔记一致：一张彩锌多孔板 1250×2500。骨架数量 = 板宽÷展长 的整数 × 板长÷高度 的整数。
2. 只取整数，不四舍五入。小数直接舍去。12.5 取 12，不取 13。先各自取整再相乘；不是把两个商乘完再取整。
3. 展长对板宽，高度对板长。绿色一行是这个方向的结果。转 90° 用同样的取整规则，只作对照；零件不能换向时，以绿色结果为准。
4. 未扣刀缝。有剪板损耗时，把损耗加进展长或高度后再填。黄格改完会自动重算。批量试算在第二张表。</t>
        </is>
      </c>
      <c r="B40" s="48" t="n"/>
      <c r="C40" s="48" t="n"/>
      <c r="D40" s="48" t="n"/>
    </row>
    <row r="41" ht="22" customHeight="1"/>
    <row r="42" ht="22" customHeight="1"/>
  </sheetData>
  <mergeCells count="12">
    <mergeCell ref="A40:D42"/>
    <mergeCell ref="A1:D1"/>
    <mergeCell ref="A23:D23"/>
    <mergeCell ref="A6:D6"/>
    <mergeCell ref="A34:D34"/>
    <mergeCell ref="A12:D12"/>
    <mergeCell ref="A4:D4"/>
    <mergeCell ref="A3:D3"/>
    <mergeCell ref="A39:D39"/>
    <mergeCell ref="A2:D2"/>
    <mergeCell ref="A19:D19"/>
    <mergeCell ref="A28:D28"/>
  </mergeCells>
  <conditionalFormatting sqref="A17:D17">
    <cfRule type="expression" priority="1" dxfId="0">
      <formula>AND(ISNUMBER($B$17),$B$17=0)</formula>
    </cfRule>
  </conditionalFormatting>
  <dataValidations count="2">
    <dataValidation sqref="B7:B10" showDropDown="0" showInputMessage="1" showErrorMessage="1" allowBlank="1" errorTitle="尺寸不对" error="请输入大于 0 的数字，单位是毫米。" promptTitle="毫米" prompt="大于 0 的尺寸，单位毫米。" type="decimal" operator="greaterThan">
      <formula1>0</formula1>
    </dataValidation>
    <dataValidation sqref="B35" showDropDown="0" showInputMessage="1" showErrorMessage="1" allowBlank="1" errorTitle="数量不对" error="需要的骨架数不能为负数。" promptTitle="可选" prompt="要做的骨架个数。留空则不反算板数。" type="decimal" operator="greaterThanOrEqual">
      <formula1>0</formula1>
    </dataValidation>
  </dataValidations>
  <printOptions horizontalCentered="1"/>
  <pageMargins left="0.45" right="0.45" top="0.55" bottom="0.45" header="0.22" footer="0.22"/>
  <pageSetup orientation="portrait" paperSize="9" scale="100" fitToHeight="1" fitToWidth="1" horizontalDpi="300" verticalDpi="300"/>
  <headerFooter>
    <oddHeader/>
    <oddFooter>&amp;L彩锌多孔板&amp;R只取整数，不四舍五入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E6B3C"/>
    <outlinePr summaryBelow="1" summaryRight="1"/>
    <pageSetUpPr fitToPage="1"/>
  </sheetPr>
  <dimension ref="A1:J19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54" customWidth="1" min="10" max="10"/>
  </cols>
  <sheetData>
    <row r="1" ht="32" customHeight="1">
      <c r="A1" s="49" t="inlineStr">
        <is>
          <t>同一张板，试算不同骨架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50">
        <f>"板材 "&amp;TEXT(板宽,"0.##")&amp;" × "&amp;TEXT(板长,"0.##")&amp;" mm（改「计算」表）。个数 = INT(板宽÷展长) × INT(板长÷高度)。只取整数，小数舍去，不四舍五入。"</f>
        <v/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22" customHeight="1">
      <c r="A3" s="7" t="inlineStr">
        <is>
          <t>前三行是示例，可删可改。空白行不用管。说明列会标出「四舍五入」和「先相乘再取整」是否和本表不同；那两个数都不采用。</t>
        </is>
      </c>
    </row>
    <row r="6" ht="30" customHeight="1">
      <c r="A6" s="51" t="inlineStr">
        <is>
          <t>序号</t>
        </is>
      </c>
      <c r="B6" s="51" t="inlineStr">
        <is>
          <t>名称</t>
        </is>
      </c>
      <c r="C6" s="51" t="inlineStr">
        <is>
          <t>展长 mm</t>
        </is>
      </c>
      <c r="D6" s="51" t="inlineStr">
        <is>
          <t>高度 mm</t>
        </is>
      </c>
      <c r="E6" s="51" t="inlineStr">
        <is>
          <t>宽向取整</t>
        </is>
      </c>
      <c r="F6" s="51" t="inlineStr">
        <is>
          <t>长向取整</t>
        </is>
      </c>
      <c r="G6" s="51" t="inlineStr">
        <is>
          <t>一张板</t>
        </is>
      </c>
      <c r="H6" s="51" t="inlineStr">
        <is>
          <t>转90°</t>
        </is>
      </c>
      <c r="I6" s="51" t="inlineStr">
        <is>
          <t>较多</t>
        </is>
      </c>
      <c r="J6" s="51" t="inlineStr">
        <is>
          <t>和另外两种算法比</t>
        </is>
      </c>
    </row>
    <row r="7" ht="24" customHeight="1">
      <c r="A7" s="17" t="n">
        <v>1</v>
      </c>
      <c r="B7" s="52" t="inlineStr">
        <is>
          <t>示例·12.5 不进位</t>
        </is>
      </c>
      <c r="C7" s="53" t="n">
        <v>100</v>
      </c>
      <c r="D7" s="53" t="n">
        <v>500</v>
      </c>
      <c r="E7" s="54">
        <f>IF(AND(C7="",D7=""),"",IF(OR(C7="",D7="",NOT(ISNUMBER(C7)),NOT(ISNUMBER(D7)),C7&lt;=0,D7&lt;=0),"请填大于 0 的尺寸",INT(板宽/C7)))</f>
        <v/>
      </c>
      <c r="F7" s="54">
        <f>IF(AND(C7="",D7=""),"",IF(OR(C7="",D7="",NOT(ISNUMBER(C7)),NOT(ISNUMBER(D7)),C7&lt;=0,D7&lt;=0),"请填大于 0 的尺寸",INT(板长/D7)))</f>
        <v/>
      </c>
      <c r="G7" s="55">
        <f>IF(AND(C7="",D7=""),"",IF(OR(C7="",D7="",NOT(ISNUMBER(C7)),NOT(ISNUMBER(D7)),C7&lt;=0,D7&lt;=0),"请填大于 0 的尺寸",INT(板宽/C7)*INT(板长/D7)))</f>
        <v/>
      </c>
      <c r="H7" s="38">
        <f>IF(AND(C7="",D7=""),"",IF(OR(C7="",D7="",NOT(ISNUMBER(C7)),NOT(ISNUMBER(D7)),C7&lt;=0,D7&lt;=0),"请填大于 0 的尺寸",INT(板长/C7)*INT(板宽/D7)))</f>
        <v/>
      </c>
      <c r="I7" s="38">
        <f>IF(AND(C7="",D7=""),"",IF(OR(C7="",D7="",NOT(ISNUMBER(C7)),NOT(ISNUMBER(D7)),C7&lt;=0,D7&lt;=0),"请填大于 0 的尺寸",MAX(INT(板宽/C7)*INT(板长/D7),INT(板长/C7)*INT(板宽/D7))))</f>
        <v/>
      </c>
      <c r="J7" s="56">
        <f>IF(AND(C7="",D7=""),"",IF(OR(C7="",D7="",NOT(ISNUMBER(C7)),NOT(ISNUMBER(D7)),C7&lt;=0,D7&lt;=0),"","取整 "&amp;INT(板宽/C7)&amp;"×"&amp;INT(板长/D7)&amp;"="&amp;INT(板宽/C7)*INT(板长/D7)&amp;IF(ROUND(板宽/C7,0)*ROUND(板长/D7,0)=INT(板宽/C7)*INT(板长/D7),"；与四舍五入相同","；四舍五入是 "&amp;ROUND(板宽/C7,0)*ROUND(板长/D7,0)&amp;"，不采用")&amp;IF(INT((板宽/C7)*(板长/D7))=INT(板宽/C7)*INT(板长/D7),"","；先相乘再取整是 "&amp;INT((板宽/C7)*(板长/D7))&amp;"，不采用")))</f>
        <v/>
      </c>
    </row>
    <row r="8" ht="24" customHeight="1">
      <c r="A8" s="12" t="n">
        <v>2</v>
      </c>
      <c r="B8" s="52" t="inlineStr">
        <is>
          <t>示例·两边都有小数</t>
        </is>
      </c>
      <c r="C8" s="53" t="n">
        <v>180</v>
      </c>
      <c r="D8" s="53" t="n">
        <v>180</v>
      </c>
      <c r="E8" s="54">
        <f>IF(AND(C8="",D8=""),"",IF(OR(C8="",D8="",NOT(ISNUMBER(C8)),NOT(ISNUMBER(D8)),C8&lt;=0,D8&lt;=0),"请填大于 0 的尺寸",INT(板宽/C8)))</f>
        <v/>
      </c>
      <c r="F8" s="54">
        <f>IF(AND(C8="",D8=""),"",IF(OR(C8="",D8="",NOT(ISNUMBER(C8)),NOT(ISNUMBER(D8)),C8&lt;=0,D8&lt;=0),"请填大于 0 的尺寸",INT(板长/D8)))</f>
        <v/>
      </c>
      <c r="G8" s="55">
        <f>IF(AND(C8="",D8=""),"",IF(OR(C8="",D8="",NOT(ISNUMBER(C8)),NOT(ISNUMBER(D8)),C8&lt;=0,D8&lt;=0),"请填大于 0 的尺寸",INT(板宽/C8)*INT(板长/D8)))</f>
        <v/>
      </c>
      <c r="H8" s="39">
        <f>IF(AND(C8="",D8=""),"",IF(OR(C8="",D8="",NOT(ISNUMBER(C8)),NOT(ISNUMBER(D8)),C8&lt;=0,D8&lt;=0),"请填大于 0 的尺寸",INT(板长/C8)*INT(板宽/D8)))</f>
        <v/>
      </c>
      <c r="I8" s="39">
        <f>IF(AND(C8="",D8=""),"",IF(OR(C8="",D8="",NOT(ISNUMBER(C8)),NOT(ISNUMBER(D8)),C8&lt;=0,D8&lt;=0),"请填大于 0 的尺寸",MAX(INT(板宽/C8)*INT(板长/D8),INT(板长/C8)*INT(板宽/D8))))</f>
        <v/>
      </c>
      <c r="J8" s="57">
        <f>IF(AND(C8="",D8=""),"",IF(OR(C8="",D8="",NOT(ISNUMBER(C8)),NOT(ISNUMBER(D8)),C8&lt;=0,D8&lt;=0),"","取整 "&amp;INT(板宽/C8)&amp;"×"&amp;INT(板长/D8)&amp;"="&amp;INT(板宽/C8)*INT(板长/D8)&amp;IF(ROUND(板宽/C8,0)*ROUND(板长/D8,0)=INT(板宽/C8)*INT(板长/D8),"；与四舍五入相同","；四舍五入是 "&amp;ROUND(板宽/C8,0)*ROUND(板长/D8,0)&amp;"，不采用")&amp;IF(INT((板宽/C8)*(板长/D8))=INT(板宽/C8)*INT(板长/D8),"","；先相乘再取整是 "&amp;INT((板宽/C8)*(板长/D8))&amp;"，不采用")))</f>
        <v/>
      </c>
    </row>
    <row r="9" ht="24" customHeight="1">
      <c r="A9" s="17" t="n">
        <v>3</v>
      </c>
      <c r="B9" s="52" t="inlineStr">
        <is>
          <t>示例·短边放不下</t>
        </is>
      </c>
      <c r="C9" s="53" t="n">
        <v>1300</v>
      </c>
      <c r="D9" s="53" t="n">
        <v>400</v>
      </c>
      <c r="E9" s="54">
        <f>IF(AND(C9="",D9=""),"",IF(OR(C9="",D9="",NOT(ISNUMBER(C9)),NOT(ISNUMBER(D9)),C9&lt;=0,D9&lt;=0),"请填大于 0 的尺寸",INT(板宽/C9)))</f>
        <v/>
      </c>
      <c r="F9" s="54">
        <f>IF(AND(C9="",D9=""),"",IF(OR(C9="",D9="",NOT(ISNUMBER(C9)),NOT(ISNUMBER(D9)),C9&lt;=0,D9&lt;=0),"请填大于 0 的尺寸",INT(板长/D9)))</f>
        <v/>
      </c>
      <c r="G9" s="55">
        <f>IF(AND(C9="",D9=""),"",IF(OR(C9="",D9="",NOT(ISNUMBER(C9)),NOT(ISNUMBER(D9)),C9&lt;=0,D9&lt;=0),"请填大于 0 的尺寸",INT(板宽/C9)*INT(板长/D9)))</f>
        <v/>
      </c>
      <c r="H9" s="38">
        <f>IF(AND(C9="",D9=""),"",IF(OR(C9="",D9="",NOT(ISNUMBER(C9)),NOT(ISNUMBER(D9)),C9&lt;=0,D9&lt;=0),"请填大于 0 的尺寸",INT(板长/C9)*INT(板宽/D9)))</f>
        <v/>
      </c>
      <c r="I9" s="38">
        <f>IF(AND(C9="",D9=""),"",IF(OR(C9="",D9="",NOT(ISNUMBER(C9)),NOT(ISNUMBER(D9)),C9&lt;=0,D9&lt;=0),"请填大于 0 的尺寸",MAX(INT(板宽/C9)*INT(板长/D9),INT(板长/C9)*INT(板宽/D9))))</f>
        <v/>
      </c>
      <c r="J9" s="56">
        <f>IF(AND(C9="",D9=""),"",IF(OR(C9="",D9="",NOT(ISNUMBER(C9)),NOT(ISNUMBER(D9)),C9&lt;=0,D9&lt;=0),"","取整 "&amp;INT(板宽/C9)&amp;"×"&amp;INT(板长/D9)&amp;"="&amp;INT(板宽/C9)*INT(板长/D9)&amp;IF(ROUND(板宽/C9,0)*ROUND(板长/D9,0)=INT(板宽/C9)*INT(板长/D9),"；与四舍五入相同","；四舍五入是 "&amp;ROUND(板宽/C9,0)*ROUND(板长/D9,0)&amp;"，不采用")&amp;IF(INT((板宽/C9)*(板长/D9))=INT(板宽/C9)*INT(板长/D9),"","；先相乘再取整是 "&amp;INT((板宽/C9)*(板长/D9))&amp;"，不采用")))</f>
        <v/>
      </c>
    </row>
    <row r="10" ht="24" customHeight="1">
      <c r="A10" s="12" t="n">
        <v>4</v>
      </c>
      <c r="B10" s="58" t="n"/>
      <c r="C10" s="53" t="n"/>
      <c r="D10" s="53" t="n"/>
      <c r="E10" s="54">
        <f>IF(AND(C10="",D10=""),"",IF(OR(C10="",D10="",NOT(ISNUMBER(C10)),NOT(ISNUMBER(D10)),C10&lt;=0,D10&lt;=0),"请填大于 0 的尺寸",INT(板宽/C10)))</f>
        <v/>
      </c>
      <c r="F10" s="54">
        <f>IF(AND(C10="",D10=""),"",IF(OR(C10="",D10="",NOT(ISNUMBER(C10)),NOT(ISNUMBER(D10)),C10&lt;=0,D10&lt;=0),"请填大于 0 的尺寸",INT(板长/D10)))</f>
        <v/>
      </c>
      <c r="G10" s="55">
        <f>IF(AND(C10="",D10=""),"",IF(OR(C10="",D10="",NOT(ISNUMBER(C10)),NOT(ISNUMBER(D10)),C10&lt;=0,D10&lt;=0),"请填大于 0 的尺寸",INT(板宽/C10)*INT(板长/D10)))</f>
        <v/>
      </c>
      <c r="H10" s="39">
        <f>IF(AND(C10="",D10=""),"",IF(OR(C10="",D10="",NOT(ISNUMBER(C10)),NOT(ISNUMBER(D10)),C10&lt;=0,D10&lt;=0),"请填大于 0 的尺寸",INT(板长/C10)*INT(板宽/D10)))</f>
        <v/>
      </c>
      <c r="I10" s="39">
        <f>IF(AND(C10="",D10=""),"",IF(OR(C10="",D10="",NOT(ISNUMBER(C10)),NOT(ISNUMBER(D10)),C10&lt;=0,D10&lt;=0),"请填大于 0 的尺寸",MAX(INT(板宽/C10)*INT(板长/D10),INT(板长/C10)*INT(板宽/D10))))</f>
        <v/>
      </c>
      <c r="J10" s="57">
        <f>IF(AND(C10="",D10=""),"",IF(OR(C10="",D10="",NOT(ISNUMBER(C10)),NOT(ISNUMBER(D10)),C10&lt;=0,D10&lt;=0),"","取整 "&amp;INT(板宽/C10)&amp;"×"&amp;INT(板长/D10)&amp;"="&amp;INT(板宽/C10)*INT(板长/D10)&amp;IF(ROUND(板宽/C10,0)*ROUND(板长/D10,0)=INT(板宽/C10)*INT(板长/D10),"；与四舍五入相同","；四舍五入是 "&amp;ROUND(板宽/C10,0)*ROUND(板长/D10,0)&amp;"，不采用")&amp;IF(INT((板宽/C10)*(板长/D10))=INT(板宽/C10)*INT(板长/D10),"","；先相乘再取整是 "&amp;INT((板宽/C10)*(板长/D10))&amp;"，不采用")))</f>
        <v/>
      </c>
    </row>
    <row r="11" ht="24" customHeight="1">
      <c r="A11" s="17" t="n">
        <v>5</v>
      </c>
      <c r="B11" s="59" t="n"/>
      <c r="C11" s="53" t="n"/>
      <c r="D11" s="53" t="n"/>
      <c r="E11" s="54">
        <f>IF(AND(C11="",D11=""),"",IF(OR(C11="",D11="",NOT(ISNUMBER(C11)),NOT(ISNUMBER(D11)),C11&lt;=0,D11&lt;=0),"请填大于 0 的尺寸",INT(板宽/C11)))</f>
        <v/>
      </c>
      <c r="F11" s="54">
        <f>IF(AND(C11="",D11=""),"",IF(OR(C11="",D11="",NOT(ISNUMBER(C11)),NOT(ISNUMBER(D11)),C11&lt;=0,D11&lt;=0),"请填大于 0 的尺寸",INT(板长/D11)))</f>
        <v/>
      </c>
      <c r="G11" s="55">
        <f>IF(AND(C11="",D11=""),"",IF(OR(C11="",D11="",NOT(ISNUMBER(C11)),NOT(ISNUMBER(D11)),C11&lt;=0,D11&lt;=0),"请填大于 0 的尺寸",INT(板宽/C11)*INT(板长/D11)))</f>
        <v/>
      </c>
      <c r="H11" s="38">
        <f>IF(AND(C11="",D11=""),"",IF(OR(C11="",D11="",NOT(ISNUMBER(C11)),NOT(ISNUMBER(D11)),C11&lt;=0,D11&lt;=0),"请填大于 0 的尺寸",INT(板长/C11)*INT(板宽/D11)))</f>
        <v/>
      </c>
      <c r="I11" s="38">
        <f>IF(AND(C11="",D11=""),"",IF(OR(C11="",D11="",NOT(ISNUMBER(C11)),NOT(ISNUMBER(D11)),C11&lt;=0,D11&lt;=0),"请填大于 0 的尺寸",MAX(INT(板宽/C11)*INT(板长/D11),INT(板长/C11)*INT(板宽/D11))))</f>
        <v/>
      </c>
      <c r="J11" s="56">
        <f>IF(AND(C11="",D11=""),"",IF(OR(C11="",D11="",NOT(ISNUMBER(C11)),NOT(ISNUMBER(D11)),C11&lt;=0,D11&lt;=0),"","取整 "&amp;INT(板宽/C11)&amp;"×"&amp;INT(板长/D11)&amp;"="&amp;INT(板宽/C11)*INT(板长/D11)&amp;IF(ROUND(板宽/C11,0)*ROUND(板长/D11,0)=INT(板宽/C11)*INT(板长/D11),"；与四舍五入相同","；四舍五入是 "&amp;ROUND(板宽/C11,0)*ROUND(板长/D11,0)&amp;"，不采用")&amp;IF(INT((板宽/C11)*(板长/D11))=INT(板宽/C11)*INT(板长/D11),"","；先相乘再取整是 "&amp;INT((板宽/C11)*(板长/D11))&amp;"，不采用")))</f>
        <v/>
      </c>
    </row>
    <row r="12" ht="24" customHeight="1">
      <c r="A12" s="12" t="n">
        <v>6</v>
      </c>
      <c r="B12" s="58" t="n"/>
      <c r="C12" s="53" t="n"/>
      <c r="D12" s="53" t="n"/>
      <c r="E12" s="54">
        <f>IF(AND(C12="",D12=""),"",IF(OR(C12="",D12="",NOT(ISNUMBER(C12)),NOT(ISNUMBER(D12)),C12&lt;=0,D12&lt;=0),"请填大于 0 的尺寸",INT(板宽/C12)))</f>
        <v/>
      </c>
      <c r="F12" s="54">
        <f>IF(AND(C12="",D12=""),"",IF(OR(C12="",D12="",NOT(ISNUMBER(C12)),NOT(ISNUMBER(D12)),C12&lt;=0,D12&lt;=0),"请填大于 0 的尺寸",INT(板长/D12)))</f>
        <v/>
      </c>
      <c r="G12" s="55">
        <f>IF(AND(C12="",D12=""),"",IF(OR(C12="",D12="",NOT(ISNUMBER(C12)),NOT(ISNUMBER(D12)),C12&lt;=0,D12&lt;=0),"请填大于 0 的尺寸",INT(板宽/C12)*INT(板长/D12)))</f>
        <v/>
      </c>
      <c r="H12" s="39">
        <f>IF(AND(C12="",D12=""),"",IF(OR(C12="",D12="",NOT(ISNUMBER(C12)),NOT(ISNUMBER(D12)),C12&lt;=0,D12&lt;=0),"请填大于 0 的尺寸",INT(板长/C12)*INT(板宽/D12)))</f>
        <v/>
      </c>
      <c r="I12" s="39">
        <f>IF(AND(C12="",D12=""),"",IF(OR(C12="",D12="",NOT(ISNUMBER(C12)),NOT(ISNUMBER(D12)),C12&lt;=0,D12&lt;=0),"请填大于 0 的尺寸",MAX(INT(板宽/C12)*INT(板长/D12),INT(板长/C12)*INT(板宽/D12))))</f>
        <v/>
      </c>
      <c r="J12" s="57">
        <f>IF(AND(C12="",D12=""),"",IF(OR(C12="",D12="",NOT(ISNUMBER(C12)),NOT(ISNUMBER(D12)),C12&lt;=0,D12&lt;=0),"","取整 "&amp;INT(板宽/C12)&amp;"×"&amp;INT(板长/D12)&amp;"="&amp;INT(板宽/C12)*INT(板长/D12)&amp;IF(ROUND(板宽/C12,0)*ROUND(板长/D12,0)=INT(板宽/C12)*INT(板长/D12),"；与四舍五入相同","；四舍五入是 "&amp;ROUND(板宽/C12,0)*ROUND(板长/D12,0)&amp;"，不采用")&amp;IF(INT((板宽/C12)*(板长/D12))=INT(板宽/C12)*INT(板长/D12),"","；先相乘再取整是 "&amp;INT((板宽/C12)*(板长/D12))&amp;"，不采用")))</f>
        <v/>
      </c>
    </row>
    <row r="13" ht="24" customHeight="1">
      <c r="A13" s="17" t="n">
        <v>7</v>
      </c>
      <c r="B13" s="59" t="n"/>
      <c r="C13" s="53" t="n"/>
      <c r="D13" s="53" t="n"/>
      <c r="E13" s="54">
        <f>IF(AND(C13="",D13=""),"",IF(OR(C13="",D13="",NOT(ISNUMBER(C13)),NOT(ISNUMBER(D13)),C13&lt;=0,D13&lt;=0),"请填大于 0 的尺寸",INT(板宽/C13)))</f>
        <v/>
      </c>
      <c r="F13" s="54">
        <f>IF(AND(C13="",D13=""),"",IF(OR(C13="",D13="",NOT(ISNUMBER(C13)),NOT(ISNUMBER(D13)),C13&lt;=0,D13&lt;=0),"请填大于 0 的尺寸",INT(板长/D13)))</f>
        <v/>
      </c>
      <c r="G13" s="55">
        <f>IF(AND(C13="",D13=""),"",IF(OR(C13="",D13="",NOT(ISNUMBER(C13)),NOT(ISNUMBER(D13)),C13&lt;=0,D13&lt;=0),"请填大于 0 的尺寸",INT(板宽/C13)*INT(板长/D13)))</f>
        <v/>
      </c>
      <c r="H13" s="38">
        <f>IF(AND(C13="",D13=""),"",IF(OR(C13="",D13="",NOT(ISNUMBER(C13)),NOT(ISNUMBER(D13)),C13&lt;=0,D13&lt;=0),"请填大于 0 的尺寸",INT(板长/C13)*INT(板宽/D13)))</f>
        <v/>
      </c>
      <c r="I13" s="38">
        <f>IF(AND(C13="",D13=""),"",IF(OR(C13="",D13="",NOT(ISNUMBER(C13)),NOT(ISNUMBER(D13)),C13&lt;=0,D13&lt;=0),"请填大于 0 的尺寸",MAX(INT(板宽/C13)*INT(板长/D13),INT(板长/C13)*INT(板宽/D13))))</f>
        <v/>
      </c>
      <c r="J13" s="56">
        <f>IF(AND(C13="",D13=""),"",IF(OR(C13="",D13="",NOT(ISNUMBER(C13)),NOT(ISNUMBER(D13)),C13&lt;=0,D13&lt;=0),"","取整 "&amp;INT(板宽/C13)&amp;"×"&amp;INT(板长/D13)&amp;"="&amp;INT(板宽/C13)*INT(板长/D13)&amp;IF(ROUND(板宽/C13,0)*ROUND(板长/D13,0)=INT(板宽/C13)*INT(板长/D13),"；与四舍五入相同","；四舍五入是 "&amp;ROUND(板宽/C13,0)*ROUND(板长/D13,0)&amp;"，不采用")&amp;IF(INT((板宽/C13)*(板长/D13))=INT(板宽/C13)*INT(板长/D13),"","；先相乘再取整是 "&amp;INT((板宽/C13)*(板长/D13))&amp;"，不采用")))</f>
        <v/>
      </c>
    </row>
    <row r="14" ht="24" customHeight="1">
      <c r="A14" s="12" t="n">
        <v>8</v>
      </c>
      <c r="B14" s="58" t="n"/>
      <c r="C14" s="53" t="n"/>
      <c r="D14" s="53" t="n"/>
      <c r="E14" s="54">
        <f>IF(AND(C14="",D14=""),"",IF(OR(C14="",D14="",NOT(ISNUMBER(C14)),NOT(ISNUMBER(D14)),C14&lt;=0,D14&lt;=0),"请填大于 0 的尺寸",INT(板宽/C14)))</f>
        <v/>
      </c>
      <c r="F14" s="54">
        <f>IF(AND(C14="",D14=""),"",IF(OR(C14="",D14="",NOT(ISNUMBER(C14)),NOT(ISNUMBER(D14)),C14&lt;=0,D14&lt;=0),"请填大于 0 的尺寸",INT(板长/D14)))</f>
        <v/>
      </c>
      <c r="G14" s="55">
        <f>IF(AND(C14="",D14=""),"",IF(OR(C14="",D14="",NOT(ISNUMBER(C14)),NOT(ISNUMBER(D14)),C14&lt;=0,D14&lt;=0),"请填大于 0 的尺寸",INT(板宽/C14)*INT(板长/D14)))</f>
        <v/>
      </c>
      <c r="H14" s="39">
        <f>IF(AND(C14="",D14=""),"",IF(OR(C14="",D14="",NOT(ISNUMBER(C14)),NOT(ISNUMBER(D14)),C14&lt;=0,D14&lt;=0),"请填大于 0 的尺寸",INT(板长/C14)*INT(板宽/D14)))</f>
        <v/>
      </c>
      <c r="I14" s="39">
        <f>IF(AND(C14="",D14=""),"",IF(OR(C14="",D14="",NOT(ISNUMBER(C14)),NOT(ISNUMBER(D14)),C14&lt;=0,D14&lt;=0),"请填大于 0 的尺寸",MAX(INT(板宽/C14)*INT(板长/D14),INT(板长/C14)*INT(板宽/D14))))</f>
        <v/>
      </c>
      <c r="J14" s="57">
        <f>IF(AND(C14="",D14=""),"",IF(OR(C14="",D14="",NOT(ISNUMBER(C14)),NOT(ISNUMBER(D14)),C14&lt;=0,D14&lt;=0),"","取整 "&amp;INT(板宽/C14)&amp;"×"&amp;INT(板长/D14)&amp;"="&amp;INT(板宽/C14)*INT(板长/D14)&amp;IF(ROUND(板宽/C14,0)*ROUND(板长/D14,0)=INT(板宽/C14)*INT(板长/D14),"；与四舍五入相同","；四舍五入是 "&amp;ROUND(板宽/C14,0)*ROUND(板长/D14,0)&amp;"，不采用")&amp;IF(INT((板宽/C14)*(板长/D14))=INT(板宽/C14)*INT(板长/D14),"","；先相乘再取整是 "&amp;INT((板宽/C14)*(板长/D14))&amp;"，不采用")))</f>
        <v/>
      </c>
    </row>
    <row r="15" ht="24" customHeight="1">
      <c r="A15" s="17" t="n">
        <v>9</v>
      </c>
      <c r="B15" s="59" t="n"/>
      <c r="C15" s="53" t="n"/>
      <c r="D15" s="53" t="n"/>
      <c r="E15" s="54">
        <f>IF(AND(C15="",D15=""),"",IF(OR(C15="",D15="",NOT(ISNUMBER(C15)),NOT(ISNUMBER(D15)),C15&lt;=0,D15&lt;=0),"请填大于 0 的尺寸",INT(板宽/C15)))</f>
        <v/>
      </c>
      <c r="F15" s="54">
        <f>IF(AND(C15="",D15=""),"",IF(OR(C15="",D15="",NOT(ISNUMBER(C15)),NOT(ISNUMBER(D15)),C15&lt;=0,D15&lt;=0),"请填大于 0 的尺寸",INT(板长/D15)))</f>
        <v/>
      </c>
      <c r="G15" s="55">
        <f>IF(AND(C15="",D15=""),"",IF(OR(C15="",D15="",NOT(ISNUMBER(C15)),NOT(ISNUMBER(D15)),C15&lt;=0,D15&lt;=0),"请填大于 0 的尺寸",INT(板宽/C15)*INT(板长/D15)))</f>
        <v/>
      </c>
      <c r="H15" s="38">
        <f>IF(AND(C15="",D15=""),"",IF(OR(C15="",D15="",NOT(ISNUMBER(C15)),NOT(ISNUMBER(D15)),C15&lt;=0,D15&lt;=0),"请填大于 0 的尺寸",INT(板长/C15)*INT(板宽/D15)))</f>
        <v/>
      </c>
      <c r="I15" s="38">
        <f>IF(AND(C15="",D15=""),"",IF(OR(C15="",D15="",NOT(ISNUMBER(C15)),NOT(ISNUMBER(D15)),C15&lt;=0,D15&lt;=0),"请填大于 0 的尺寸",MAX(INT(板宽/C15)*INT(板长/D15),INT(板长/C15)*INT(板宽/D15))))</f>
        <v/>
      </c>
      <c r="J15" s="56">
        <f>IF(AND(C15="",D15=""),"",IF(OR(C15="",D15="",NOT(ISNUMBER(C15)),NOT(ISNUMBER(D15)),C15&lt;=0,D15&lt;=0),"","取整 "&amp;INT(板宽/C15)&amp;"×"&amp;INT(板长/D15)&amp;"="&amp;INT(板宽/C15)*INT(板长/D15)&amp;IF(ROUND(板宽/C15,0)*ROUND(板长/D15,0)=INT(板宽/C15)*INT(板长/D15),"；与四舍五入相同","；四舍五入是 "&amp;ROUND(板宽/C15,0)*ROUND(板长/D15,0)&amp;"，不采用")&amp;IF(INT((板宽/C15)*(板长/D15))=INT(板宽/C15)*INT(板长/D15),"","；先相乘再取整是 "&amp;INT((板宽/C15)*(板长/D15))&amp;"，不采用")))</f>
        <v/>
      </c>
    </row>
    <row r="16" ht="24" customHeight="1">
      <c r="A16" s="12" t="n">
        <v>10</v>
      </c>
      <c r="B16" s="58" t="n"/>
      <c r="C16" s="53" t="n"/>
      <c r="D16" s="53" t="n"/>
      <c r="E16" s="54">
        <f>IF(AND(C16="",D16=""),"",IF(OR(C16="",D16="",NOT(ISNUMBER(C16)),NOT(ISNUMBER(D16)),C16&lt;=0,D16&lt;=0),"请填大于 0 的尺寸",INT(板宽/C16)))</f>
        <v/>
      </c>
      <c r="F16" s="54">
        <f>IF(AND(C16="",D16=""),"",IF(OR(C16="",D16="",NOT(ISNUMBER(C16)),NOT(ISNUMBER(D16)),C16&lt;=0,D16&lt;=0),"请填大于 0 的尺寸",INT(板长/D16)))</f>
        <v/>
      </c>
      <c r="G16" s="55">
        <f>IF(AND(C16="",D16=""),"",IF(OR(C16="",D16="",NOT(ISNUMBER(C16)),NOT(ISNUMBER(D16)),C16&lt;=0,D16&lt;=0),"请填大于 0 的尺寸",INT(板宽/C16)*INT(板长/D16)))</f>
        <v/>
      </c>
      <c r="H16" s="39">
        <f>IF(AND(C16="",D16=""),"",IF(OR(C16="",D16="",NOT(ISNUMBER(C16)),NOT(ISNUMBER(D16)),C16&lt;=0,D16&lt;=0),"请填大于 0 的尺寸",INT(板长/C16)*INT(板宽/D16)))</f>
        <v/>
      </c>
      <c r="I16" s="39">
        <f>IF(AND(C16="",D16=""),"",IF(OR(C16="",D16="",NOT(ISNUMBER(C16)),NOT(ISNUMBER(D16)),C16&lt;=0,D16&lt;=0),"请填大于 0 的尺寸",MAX(INT(板宽/C16)*INT(板长/D16),INT(板长/C16)*INT(板宽/D16))))</f>
        <v/>
      </c>
      <c r="J16" s="57">
        <f>IF(AND(C16="",D16=""),"",IF(OR(C16="",D16="",NOT(ISNUMBER(C16)),NOT(ISNUMBER(D16)),C16&lt;=0,D16&lt;=0),"","取整 "&amp;INT(板宽/C16)&amp;"×"&amp;INT(板长/D16)&amp;"="&amp;INT(板宽/C16)*INT(板长/D16)&amp;IF(ROUND(板宽/C16,0)*ROUND(板长/D16,0)=INT(板宽/C16)*INT(板长/D16),"；与四舍五入相同","；四舍五入是 "&amp;ROUND(板宽/C16,0)*ROUND(板长/D16,0)&amp;"，不采用")&amp;IF(INT((板宽/C16)*(板长/D16))=INT(板宽/C16)*INT(板长/D16),"","；先相乘再取整是 "&amp;INT((板宽/C16)*(板长/D16))&amp;"，不采用")))</f>
        <v/>
      </c>
    </row>
    <row r="18" ht="20" customHeight="1">
      <c r="A18" s="7" t="inlineStr">
        <is>
          <t>宽向取整 = INT(板宽÷展长)，长向取整 = INT(板长÷高度)，一张板 = 两者相乘。转 90° 是把展长放到长边、高度放到短边，取整规则相同。件数多的那种，利用率也高，因为每件面积都是展长×高度。未扣刀缝。</t>
        </is>
      </c>
    </row>
    <row r="19" ht="20" customHeight="1"/>
  </sheetData>
  <mergeCells count="4">
    <mergeCell ref="A18:J19"/>
    <mergeCell ref="A1:J1"/>
    <mergeCell ref="A3:J3"/>
    <mergeCell ref="A2:J2"/>
  </mergeCells>
  <dataValidations count="1">
    <dataValidation sqref="C7:D16" showDropDown="0" showInputMessage="1" showErrorMessage="1" allowBlank="1" errorTitle="尺寸不对" error="请输入大于 0 的毫米数。" promptTitle="毫米" prompt="展长或高度，单位毫米。" type="decimal" operator="greaterThan">
      <formula1>0</formula1>
    </dataValidation>
  </dataValidations>
  <printOptions horizontalCentered="1"/>
  <pageMargins left="0.4" right="0.4" top="0.5" bottom="0.4" header="0.2" footer="0.2"/>
  <pageSetup orientation="landscape" paperSize="9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铭杰</dc:creator>
  <dc:title>彩锌多孔板 · 一张能做几个骨架</dc:title>
  <dc:subject>骨架数量 = INT(板宽/展长) × INT(板长/高度)，只取整数，不四舍五入</dc:subject>
  <dcterms:created xsi:type="dcterms:W3CDTF">2026-09-22T08:14:40Z</dcterms:created>
  <dcterms:modified xsi:type="dcterms:W3CDTF">2026-09-22T08:14:40Z</dcterms:modified>
</cp:coreProperties>
</file>